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toto/Downloads/"/>
    </mc:Choice>
  </mc:AlternateContent>
  <xr:revisionPtr revIDLastSave="0" documentId="13_ncr:1_{87D511DB-DC25-244C-9BF7-1F1189AC0BC6}" xr6:coauthVersionLast="47" xr6:coauthVersionMax="47" xr10:uidLastSave="{00000000-0000-0000-0000-000000000000}"/>
  <bookViews>
    <workbookView xWindow="0" yWindow="600" windowWidth="33600" windowHeight="20400" tabRatio="500" activeTab="4" xr2:uid="{00000000-000D-0000-FFFF-FFFF00000000}"/>
  </bookViews>
  <sheets>
    <sheet name="Historial" sheetId="1" r:id="rId1"/>
    <sheet name="Consultas por Ciudad" sheetId="2" r:id="rId2"/>
    <sheet name="Tendencia Temperatura" sheetId="3" r:id="rId3"/>
    <sheet name="Condiciones Climaticas" sheetId="4" r:id="rId4"/>
    <sheet name="Estadistica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5" l="1"/>
  <c r="B4" i="5"/>
  <c r="B7" i="5"/>
  <c r="B3" i="5"/>
  <c r="B10" i="4"/>
  <c r="B9" i="4"/>
  <c r="B8" i="4"/>
  <c r="B7" i="4"/>
  <c r="B6" i="4"/>
  <c r="B5" i="4"/>
  <c r="B4" i="4"/>
  <c r="B9" i="2"/>
  <c r="B8" i="2"/>
  <c r="B7" i="2"/>
  <c r="B6" i="2"/>
  <c r="B5" i="2"/>
  <c r="B4" i="2"/>
  <c r="B8" i="5" s="1"/>
  <c r="B10" i="2" l="1"/>
  <c r="B5" i="5"/>
</calcChain>
</file>

<file path=xl/sharedStrings.xml><?xml version="1.0" encoding="utf-8"?>
<sst xmlns="http://schemas.openxmlformats.org/spreadsheetml/2006/main" count="227" uniqueCount="81">
  <si>
    <t>Usuario</t>
  </si>
  <si>
    <t>Ciudad</t>
  </si>
  <si>
    <t>Fecha</t>
  </si>
  <si>
    <t>Temperatura</t>
  </si>
  <si>
    <t>Descripcion</t>
  </si>
  <si>
    <t>Humedad</t>
  </si>
  <si>
    <t>Viento</t>
  </si>
  <si>
    <t>fpedemonte</t>
  </si>
  <si>
    <t>Ushuaia</t>
  </si>
  <si>
    <t>2026-05-26 03:55:34</t>
  </si>
  <si>
    <t>muy nuboso</t>
  </si>
  <si>
    <t>Buenos Aires</t>
  </si>
  <si>
    <t>2026-05-26 04:47:36</t>
  </si>
  <si>
    <t>cielo claro</t>
  </si>
  <si>
    <t>jbariffi</t>
  </si>
  <si>
    <t>Rosario</t>
  </si>
  <si>
    <t>2026-05-26 04:49:09</t>
  </si>
  <si>
    <t>jsanguinetti</t>
  </si>
  <si>
    <t>2026-05-26 11:17:58</t>
  </si>
  <si>
    <t>jbeltran</t>
  </si>
  <si>
    <t>Mendoza</t>
  </si>
  <si>
    <t>2026-05-26 11:56:59</t>
  </si>
  <si>
    <t>2026-05-26 14:21:31</t>
  </si>
  <si>
    <t>2026-05-26 17:25:32</t>
  </si>
  <si>
    <t>Bariloche</t>
  </si>
  <si>
    <t>2026-05-26 22:40:26</t>
  </si>
  <si>
    <t>nieve</t>
  </si>
  <si>
    <t>2026-05-27 03:06:29</t>
  </si>
  <si>
    <t>algo de nubes</t>
  </si>
  <si>
    <t>2026-05-27 03:28:02</t>
  </si>
  <si>
    <t>2026-05-27 04:05:02</t>
  </si>
  <si>
    <t>2026-05-27 10:09:49</t>
  </si>
  <si>
    <t>2026-05-27 11:30:16</t>
  </si>
  <si>
    <t>2026-05-27 17:25:28</t>
  </si>
  <si>
    <t>Cordoba</t>
  </si>
  <si>
    <t>2026-05-27 17:40:33</t>
  </si>
  <si>
    <t>tormenta</t>
  </si>
  <si>
    <t>2026-05-27 18:18:32</t>
  </si>
  <si>
    <t>2026-05-27 22:31:29</t>
  </si>
  <si>
    <t>2026-05-27 23:09:30</t>
  </si>
  <si>
    <t>2026-05-27 23:19:29</t>
  </si>
  <si>
    <t>2026-05-28 01:23:24</t>
  </si>
  <si>
    <t>nubes dispersas</t>
  </si>
  <si>
    <t>2026-05-28 07:49:38</t>
  </si>
  <si>
    <t>2026-05-28 14:37:49</t>
  </si>
  <si>
    <t>2026-05-28 16:50:41</t>
  </si>
  <si>
    <t>2026-05-28 18:33:13</t>
  </si>
  <si>
    <t>2026-05-28 20:48:59</t>
  </si>
  <si>
    <t>2026-05-28 22:04:32</t>
  </si>
  <si>
    <t>lluvia ligera</t>
  </si>
  <si>
    <t>2026-05-29 00:41:54</t>
  </si>
  <si>
    <t>2026-05-29 03:28:27</t>
  </si>
  <si>
    <t>2026-05-29 04:24:45</t>
  </si>
  <si>
    <t>2026-05-29 05:07:57</t>
  </si>
  <si>
    <t>2026-05-29 05:34:35</t>
  </si>
  <si>
    <t>2026-05-29 06:29:58</t>
  </si>
  <si>
    <t>2026-05-29 11:03:36</t>
  </si>
  <si>
    <t>2026-05-29 15:38:03</t>
  </si>
  <si>
    <t>2026-05-29 23:10:28</t>
  </si>
  <si>
    <t>2026-05-29 23:40:12</t>
  </si>
  <si>
    <t>2026-05-30 01:57:05</t>
  </si>
  <si>
    <t>2026-05-30 02:25:06</t>
  </si>
  <si>
    <t>2026-05-30 06:15:03</t>
  </si>
  <si>
    <t>2026-05-30 09:33:40</t>
  </si>
  <si>
    <t>2026-05-30 16:26:06</t>
  </si>
  <si>
    <t>2026-05-30 20:04:17</t>
  </si>
  <si>
    <t>2026-05-30 21:54:07</t>
  </si>
  <si>
    <t>2026-05-30 22:45:26</t>
  </si>
  <si>
    <t>Número de consultas por ciudad (todos los usuarios)</t>
  </si>
  <si>
    <t>Consultas</t>
  </si>
  <si>
    <t>TOTAL</t>
  </si>
  <si>
    <t>Tendencia de temperatura en Buenos Aires a lo largo del tiempo</t>
  </si>
  <si>
    <t>Distribución de condiciones climáticas (historial global)</t>
  </si>
  <si>
    <t>Condicion</t>
  </si>
  <si>
    <t>Estadísticas Globales</t>
  </si>
  <si>
    <t>Total de consultas</t>
  </si>
  <si>
    <t>Temperatura promedio (°C)</t>
  </si>
  <si>
    <t>Temperatura máxima (°C)</t>
  </si>
  <si>
    <t>Temperatura mínima (°C)</t>
  </si>
  <si>
    <t>Humedad promedio (%)</t>
  </si>
  <si>
    <t>Ciudad más consultada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</si>
</sst>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4"/>
      <color rgb="FF1F4E79"/>
      <name val="Arial"/>
      <charset val="1"/>
    </font>
    <font>
      <b/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BFBFBF"/>
      <rgbColor rgb="FF878787"/>
      <rgbColor rgb="FF93A9CE"/>
      <rgbColor rgb="FFAB4744"/>
      <rgbColor rgb="FFF9F9F9"/>
      <rgbColor rgb="FFCCFFFF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672A8"/>
      <rgbColor rgb="FF33CCCC"/>
      <rgbColor rgb="FF99CC00"/>
      <rgbColor rgb="FFFFCC00"/>
      <rgbColor rgb="FFFF9900"/>
      <rgbColor rgb="FFFF6600"/>
      <rgbColor rgb="FF725990"/>
      <rgbColor rgb="FF8AA64F"/>
      <rgbColor rgb="FF003366"/>
      <rgbColor rgb="FF4299B0"/>
      <rgbColor rgb="FF003300"/>
      <rgbColor rgb="FF333300"/>
      <rgbColor rgb="FF993300"/>
      <rgbColor rgb="FFBE4B48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Consultas por Ciudad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'Consultas por Ciudad'!$B$3</c:f>
              <c:strCache>
                <c:ptCount val="1"/>
                <c:pt idx="0">
                  <c:v>Consultas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A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'Consultas por Ciudad'!$A$4:$A$9</c:f>
              <c:strCache>
                <c:ptCount val="6"/>
                <c:pt idx="0">
                  <c:v>Buenos Aires</c:v>
                </c:pt>
                <c:pt idx="1">
                  <c:v>Cordoba</c:v>
                </c:pt>
                <c:pt idx="2">
                  <c:v>Bariloche</c:v>
                </c:pt>
                <c:pt idx="3">
                  <c:v>Mendoza</c:v>
                </c:pt>
                <c:pt idx="4">
                  <c:v>Ushuaia</c:v>
                </c:pt>
                <c:pt idx="5">
                  <c:v>Rosario</c:v>
                </c:pt>
              </c:strCache>
            </c:strRef>
          </c:cat>
          <c:val>
            <c:numRef>
              <c:f>'Consultas por Ciudad'!$B$4:$B$9</c:f>
              <c:numCache>
                <c:formatCode>General</c:formatCode>
                <c:ptCount val="6"/>
                <c:pt idx="0">
                  <c:v>14</c:v>
                </c:pt>
                <c:pt idx="1">
                  <c:v>8</c:v>
                </c:pt>
                <c:pt idx="2">
                  <c:v>6</c:v>
                </c:pt>
                <c:pt idx="3">
                  <c:v>7</c:v>
                </c:pt>
                <c:pt idx="4">
                  <c:v>4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F3-284F-9CD4-F8C02AD3A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03835"/>
        <c:axId val="33340238"/>
      </c:barChart>
      <c:catAx>
        <c:axId val="1990383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Ciudad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AR"/>
          </a:p>
        </c:txPr>
        <c:crossAx val="33340238"/>
        <c:crosses val="autoZero"/>
        <c:auto val="1"/>
        <c:lblAlgn val="ctr"/>
        <c:lblOffset val="100"/>
        <c:noMultiLvlLbl val="0"/>
      </c:catAx>
      <c:valAx>
        <c:axId val="33340238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Cantidad de consultas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AR"/>
          </a:p>
        </c:txPr>
        <c:crossAx val="1990383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Temperatura en Buenos Aires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'Tendencia Temperatura'!$B$3</c:f>
              <c:strCache>
                <c:ptCount val="1"/>
                <c:pt idx="0">
                  <c:v>Temperatura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A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'Tendencia Temperatura'!$A$4:$A$17</c:f>
              <c:strCache>
                <c:ptCount val="14"/>
                <c:pt idx="0">
                  <c:v>2026-05-26 04:47:36</c:v>
                </c:pt>
                <c:pt idx="1">
                  <c:v>2026-05-26 17:25:32</c:v>
                </c:pt>
                <c:pt idx="2">
                  <c:v>2026-05-27 04:05:02</c:v>
                </c:pt>
                <c:pt idx="3">
                  <c:v>2026-05-27 11:30:16</c:v>
                </c:pt>
                <c:pt idx="4">
                  <c:v>2026-05-27 17:25:28</c:v>
                </c:pt>
                <c:pt idx="5">
                  <c:v>2026-05-27 22:31:29</c:v>
                </c:pt>
                <c:pt idx="6">
                  <c:v>2026-05-28 16:50:41</c:v>
                </c:pt>
                <c:pt idx="7">
                  <c:v>2026-05-28 22:04:32</c:v>
                </c:pt>
                <c:pt idx="8">
                  <c:v>2026-05-29 03:28:27</c:v>
                </c:pt>
                <c:pt idx="9">
                  <c:v>2026-05-29 04:24:45</c:v>
                </c:pt>
                <c:pt idx="10">
                  <c:v>2026-05-29 05:34:35</c:v>
                </c:pt>
                <c:pt idx="11">
                  <c:v>2026-05-29 06:29:58</c:v>
                </c:pt>
                <c:pt idx="12">
                  <c:v>2026-05-29 11:03:36</c:v>
                </c:pt>
                <c:pt idx="13">
                  <c:v>2026-05-29 23:10:28</c:v>
                </c:pt>
              </c:strCache>
            </c:strRef>
          </c:cat>
          <c:val>
            <c:numRef>
              <c:f>'Tendencia Temperatura'!$B$4:$B$17</c:f>
              <c:numCache>
                <c:formatCode>General</c:formatCode>
                <c:ptCount val="14"/>
                <c:pt idx="0">
                  <c:v>21.24</c:v>
                </c:pt>
                <c:pt idx="1">
                  <c:v>16.02</c:v>
                </c:pt>
                <c:pt idx="2">
                  <c:v>18.75</c:v>
                </c:pt>
                <c:pt idx="3">
                  <c:v>21.62</c:v>
                </c:pt>
                <c:pt idx="4">
                  <c:v>21.94</c:v>
                </c:pt>
                <c:pt idx="5">
                  <c:v>16.7</c:v>
                </c:pt>
                <c:pt idx="6">
                  <c:v>21.66</c:v>
                </c:pt>
                <c:pt idx="7">
                  <c:v>18.28</c:v>
                </c:pt>
                <c:pt idx="8">
                  <c:v>21.39</c:v>
                </c:pt>
                <c:pt idx="9">
                  <c:v>19.329999999999998</c:v>
                </c:pt>
                <c:pt idx="10">
                  <c:v>21.88</c:v>
                </c:pt>
                <c:pt idx="11">
                  <c:v>20.71</c:v>
                </c:pt>
                <c:pt idx="12">
                  <c:v>19.79</c:v>
                </c:pt>
                <c:pt idx="13">
                  <c:v>20.62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2B4-A14D-983E-D7DBBFE38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9789172"/>
        <c:axId val="89936743"/>
      </c:lineChart>
      <c:catAx>
        <c:axId val="7978917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Fecha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AR"/>
          </a:p>
        </c:txPr>
        <c:crossAx val="89936743"/>
        <c:crosses val="autoZero"/>
        <c:auto val="1"/>
        <c:lblAlgn val="ctr"/>
        <c:lblOffset val="100"/>
        <c:noMultiLvlLbl val="0"/>
      </c:catAx>
      <c:valAx>
        <c:axId val="899367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Temperatura (°C)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AR"/>
          </a:p>
        </c:txPr>
        <c:crossAx val="797891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Condiciones Climáticas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'Condiciones Climaticas'!$B$3</c:f>
              <c:strCache>
                <c:ptCount val="1"/>
                <c:pt idx="0">
                  <c:v>Consultas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672A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2226-A74D-A0CB-6741608CAA12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2226-A74D-A0CB-6741608CAA12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2226-A74D-A0CB-6741608CAA12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2226-A74D-A0CB-6741608CAA12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2226-A74D-A0CB-6741608CAA12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2226-A74D-A0CB-6741608CAA12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2226-A74D-A0CB-6741608CAA12}"/>
              </c:ext>
            </c:extLst>
          </c:dPt>
          <c:dLbls>
            <c:dLbl>
              <c:idx val="0"/>
              <c:layout>
                <c:manualLayout>
                  <c:x val="5.3605054381939139E-2"/>
                  <c:y val="7.6595673860461899E-2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A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226-A74D-A0CB-6741608CAA12}"/>
                </c:ext>
              </c:extLst>
            </c:dLbl>
            <c:dLbl>
              <c:idx val="1"/>
              <c:layout>
                <c:manualLayout>
                  <c:x val="-7.5696660644645371E-3"/>
                  <c:y val="6.2002411355561525E-2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A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226-A74D-A0CB-6741608CAA12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A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2226-A74D-A0CB-6741608CAA12}"/>
                </c:ext>
              </c:extLst>
            </c:dLbl>
            <c:dLbl>
              <c:idx val="3"/>
              <c:layout>
                <c:manualLayout>
                  <c:x val="5.3101494088472263E-2"/>
                  <c:y val="-1.6609814069199494E-2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A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226-A74D-A0CB-6741608CAA12}"/>
                </c:ext>
              </c:extLst>
            </c:dLbl>
            <c:dLbl>
              <c:idx val="4"/>
              <c:layout>
                <c:manualLayout>
                  <c:x val="0"/>
                  <c:y val="9.4996437209829854E-3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A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226-A74D-A0CB-6741608CAA12}"/>
                </c:ext>
              </c:extLst>
            </c:dLbl>
            <c:dLbl>
              <c:idx val="5"/>
              <c:layout>
                <c:manualLayout>
                  <c:x val="5.7082202060619071E-2"/>
                  <c:y val="-2.9910794637815876E-3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A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226-A74D-A0CB-6741608CAA12}"/>
                </c:ext>
              </c:extLst>
            </c:dLbl>
            <c:dLbl>
              <c:idx val="6"/>
              <c:layout>
                <c:manualLayout>
                  <c:x val="9.3570157038047511E-2"/>
                  <c:y val="4.770317149965112E-3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A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226-A74D-A0CB-6741608CAA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AR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'Condiciones Climaticas'!$A$4:$A$10</c:f>
              <c:strCache>
                <c:ptCount val="7"/>
                <c:pt idx="0">
                  <c:v>algo de nubes</c:v>
                </c:pt>
                <c:pt idx="1">
                  <c:v>cielo claro</c:v>
                </c:pt>
                <c:pt idx="2">
                  <c:v>lluvia ligera</c:v>
                </c:pt>
                <c:pt idx="3">
                  <c:v>muy nuboso</c:v>
                </c:pt>
                <c:pt idx="4">
                  <c:v>nieve</c:v>
                </c:pt>
                <c:pt idx="5">
                  <c:v>nubes dispersas</c:v>
                </c:pt>
                <c:pt idx="6">
                  <c:v>tormenta</c:v>
                </c:pt>
              </c:strCache>
            </c:strRef>
          </c:cat>
          <c:val>
            <c:numRef>
              <c:f>'Condiciones Climaticas'!$B$4:$B$10</c:f>
              <c:numCache>
                <c:formatCode>General</c:formatCode>
                <c:ptCount val="7"/>
                <c:pt idx="0">
                  <c:v>3</c:v>
                </c:pt>
                <c:pt idx="1">
                  <c:v>11</c:v>
                </c:pt>
                <c:pt idx="2">
                  <c:v>5</c:v>
                </c:pt>
                <c:pt idx="3">
                  <c:v>12</c:v>
                </c:pt>
                <c:pt idx="4">
                  <c:v>5</c:v>
                </c:pt>
                <c:pt idx="5">
                  <c:v>6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226-A74D-A0CB-6741608CA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A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160560</xdr:rowOff>
    </xdr:from>
    <xdr:to>
      <xdr:col>12</xdr:col>
      <xdr:colOff>256320</xdr:colOff>
      <xdr:row>18</xdr:row>
      <xdr:rowOff>161640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135160</xdr:rowOff>
    </xdr:from>
    <xdr:to>
      <xdr:col>13</xdr:col>
      <xdr:colOff>364680</xdr:colOff>
      <xdr:row>19</xdr:row>
      <xdr:rowOff>136240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160560</xdr:rowOff>
    </xdr:from>
    <xdr:to>
      <xdr:col>11</xdr:col>
      <xdr:colOff>147600</xdr:colOff>
      <xdr:row>18</xdr:row>
      <xdr:rowOff>161640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zoomScale="109" zoomScaleNormal="100" workbookViewId="0">
      <pane ySplit="1" topLeftCell="A2" activePane="bottomLeft" state="frozen"/>
      <selection pane="bottomLeft" activeCell="L23" sqref="L23"/>
    </sheetView>
  </sheetViews>
  <sheetFormatPr baseColWidth="10" defaultColWidth="8.6640625" defaultRowHeight="15" x14ac:dyDescent="0.2"/>
  <cols>
    <col min="1" max="1" width="14" customWidth="1"/>
    <col min="2" max="2" width="16" customWidth="1"/>
    <col min="3" max="3" width="21" customWidth="1"/>
    <col min="4" max="4" width="13" customWidth="1"/>
    <col min="5" max="5" width="16" customWidth="1"/>
    <col min="6" max="6" width="11" customWidth="1"/>
    <col min="7" max="7" width="10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2" t="s">
        <v>9</v>
      </c>
      <c r="D2" s="3">
        <v>1.5</v>
      </c>
      <c r="E2" s="2" t="s">
        <v>10</v>
      </c>
      <c r="F2" s="3">
        <v>81</v>
      </c>
      <c r="G2" s="3">
        <v>9.0500000000000007</v>
      </c>
    </row>
    <row r="3" spans="1:7" x14ac:dyDescent="0.2">
      <c r="A3" s="2" t="s">
        <v>7</v>
      </c>
      <c r="B3" s="2" t="s">
        <v>11</v>
      </c>
      <c r="C3" s="2" t="s">
        <v>12</v>
      </c>
      <c r="D3" s="3">
        <v>21.24</v>
      </c>
      <c r="E3" s="2" t="s">
        <v>13</v>
      </c>
      <c r="F3" s="3">
        <v>44</v>
      </c>
      <c r="G3" s="3">
        <v>2.27</v>
      </c>
    </row>
    <row r="4" spans="1:7" x14ac:dyDescent="0.2">
      <c r="A4" s="2" t="s">
        <v>14</v>
      </c>
      <c r="B4" s="2" t="s">
        <v>15</v>
      </c>
      <c r="C4" s="2" t="s">
        <v>16</v>
      </c>
      <c r="D4" s="3">
        <v>16.309999999999999</v>
      </c>
      <c r="E4" s="2" t="s">
        <v>10</v>
      </c>
      <c r="F4" s="3">
        <v>61</v>
      </c>
      <c r="G4" s="3">
        <v>5.05</v>
      </c>
    </row>
    <row r="5" spans="1:7" x14ac:dyDescent="0.2">
      <c r="A5" s="2" t="s">
        <v>17</v>
      </c>
      <c r="B5" s="2" t="s">
        <v>15</v>
      </c>
      <c r="C5" s="2" t="s">
        <v>18</v>
      </c>
      <c r="D5" s="3">
        <v>16.510000000000002</v>
      </c>
      <c r="E5" s="2" t="s">
        <v>13</v>
      </c>
      <c r="F5" s="3">
        <v>95</v>
      </c>
      <c r="G5" s="3">
        <v>8.51</v>
      </c>
    </row>
    <row r="6" spans="1:7" x14ac:dyDescent="0.2">
      <c r="A6" s="2" t="s">
        <v>19</v>
      </c>
      <c r="B6" s="2" t="s">
        <v>20</v>
      </c>
      <c r="C6" s="2" t="s">
        <v>21</v>
      </c>
      <c r="D6" s="3">
        <v>22.38</v>
      </c>
      <c r="E6" s="2" t="s">
        <v>13</v>
      </c>
      <c r="F6" s="3">
        <v>46</v>
      </c>
      <c r="G6" s="3">
        <v>2.4700000000000002</v>
      </c>
    </row>
    <row r="7" spans="1:7" x14ac:dyDescent="0.2">
      <c r="A7" s="2" t="s">
        <v>7</v>
      </c>
      <c r="B7" s="2" t="s">
        <v>15</v>
      </c>
      <c r="C7" s="2" t="s">
        <v>22</v>
      </c>
      <c r="D7" s="3">
        <v>21.15</v>
      </c>
      <c r="E7" s="2" t="s">
        <v>13</v>
      </c>
      <c r="F7" s="3">
        <v>57</v>
      </c>
      <c r="G7" s="3">
        <v>2.86</v>
      </c>
    </row>
    <row r="8" spans="1:7" x14ac:dyDescent="0.2">
      <c r="A8" s="2" t="s">
        <v>7</v>
      </c>
      <c r="B8" s="2" t="s">
        <v>11</v>
      </c>
      <c r="C8" s="2" t="s">
        <v>23</v>
      </c>
      <c r="D8" s="3">
        <v>16.02</v>
      </c>
      <c r="E8" s="2" t="s">
        <v>10</v>
      </c>
      <c r="F8" s="3">
        <v>57</v>
      </c>
      <c r="G8" s="3">
        <v>3.96</v>
      </c>
    </row>
    <row r="9" spans="1:7" x14ac:dyDescent="0.2">
      <c r="A9" s="2" t="s">
        <v>17</v>
      </c>
      <c r="B9" s="2" t="s">
        <v>24</v>
      </c>
      <c r="C9" s="2" t="s">
        <v>25</v>
      </c>
      <c r="D9" s="3">
        <v>3.16</v>
      </c>
      <c r="E9" s="2" t="s">
        <v>26</v>
      </c>
      <c r="F9" s="3">
        <v>92</v>
      </c>
      <c r="G9" s="3">
        <v>8.27</v>
      </c>
    </row>
    <row r="10" spans="1:7" x14ac:dyDescent="0.2">
      <c r="A10" s="2" t="s">
        <v>7</v>
      </c>
      <c r="B10" s="2" t="s">
        <v>20</v>
      </c>
      <c r="C10" s="2" t="s">
        <v>27</v>
      </c>
      <c r="D10" s="3">
        <v>21.36</v>
      </c>
      <c r="E10" s="2" t="s">
        <v>28</v>
      </c>
      <c r="F10" s="3">
        <v>59</v>
      </c>
      <c r="G10" s="3">
        <v>6.22</v>
      </c>
    </row>
    <row r="11" spans="1:7" x14ac:dyDescent="0.2">
      <c r="A11" s="2" t="s">
        <v>19</v>
      </c>
      <c r="B11" s="2" t="s">
        <v>24</v>
      </c>
      <c r="C11" s="2" t="s">
        <v>29</v>
      </c>
      <c r="D11" s="3">
        <v>9.65</v>
      </c>
      <c r="E11" s="2" t="s">
        <v>26</v>
      </c>
      <c r="F11" s="3">
        <v>44</v>
      </c>
      <c r="G11" s="3">
        <v>8.8699999999999992</v>
      </c>
    </row>
    <row r="12" spans="1:7" x14ac:dyDescent="0.2">
      <c r="A12" s="2" t="s">
        <v>17</v>
      </c>
      <c r="B12" s="2" t="s">
        <v>11</v>
      </c>
      <c r="C12" s="2" t="s">
        <v>30</v>
      </c>
      <c r="D12" s="3">
        <v>18.75</v>
      </c>
      <c r="E12" s="2" t="s">
        <v>10</v>
      </c>
      <c r="F12" s="3">
        <v>90</v>
      </c>
      <c r="G12" s="3">
        <v>4.04</v>
      </c>
    </row>
    <row r="13" spans="1:7" x14ac:dyDescent="0.2">
      <c r="A13" s="2" t="s">
        <v>17</v>
      </c>
      <c r="B13" s="2" t="s">
        <v>15</v>
      </c>
      <c r="C13" s="2" t="s">
        <v>31</v>
      </c>
      <c r="D13" s="3">
        <v>21.41</v>
      </c>
      <c r="E13" s="2" t="s">
        <v>10</v>
      </c>
      <c r="F13" s="3">
        <v>80</v>
      </c>
      <c r="G13" s="3">
        <v>4.4000000000000004</v>
      </c>
    </row>
    <row r="14" spans="1:7" x14ac:dyDescent="0.2">
      <c r="A14" s="2" t="s">
        <v>14</v>
      </c>
      <c r="B14" s="2" t="s">
        <v>11</v>
      </c>
      <c r="C14" s="2" t="s">
        <v>32</v>
      </c>
      <c r="D14" s="3">
        <v>21.62</v>
      </c>
      <c r="E14" s="2" t="s">
        <v>10</v>
      </c>
      <c r="F14" s="3">
        <v>86</v>
      </c>
      <c r="G14" s="3">
        <v>3.68</v>
      </c>
    </row>
    <row r="15" spans="1:7" x14ac:dyDescent="0.2">
      <c r="A15" s="2" t="s">
        <v>19</v>
      </c>
      <c r="B15" s="2" t="s">
        <v>11</v>
      </c>
      <c r="C15" s="2" t="s">
        <v>33</v>
      </c>
      <c r="D15" s="3">
        <v>21.94</v>
      </c>
      <c r="E15" s="2" t="s">
        <v>13</v>
      </c>
      <c r="F15" s="3">
        <v>87</v>
      </c>
      <c r="G15" s="3">
        <v>4.1100000000000003</v>
      </c>
    </row>
    <row r="16" spans="1:7" x14ac:dyDescent="0.2">
      <c r="A16" s="2" t="s">
        <v>19</v>
      </c>
      <c r="B16" s="2" t="s">
        <v>34</v>
      </c>
      <c r="C16" s="2" t="s">
        <v>35</v>
      </c>
      <c r="D16" s="3">
        <v>24.09</v>
      </c>
      <c r="E16" s="2" t="s">
        <v>36</v>
      </c>
      <c r="F16" s="3">
        <v>93</v>
      </c>
      <c r="G16" s="3">
        <v>4.6399999999999997</v>
      </c>
    </row>
    <row r="17" spans="1:7" x14ac:dyDescent="0.2">
      <c r="A17" s="2" t="s">
        <v>7</v>
      </c>
      <c r="B17" s="2" t="s">
        <v>20</v>
      </c>
      <c r="C17" s="2" t="s">
        <v>37</v>
      </c>
      <c r="D17" s="3">
        <v>17.27</v>
      </c>
      <c r="E17" s="2" t="s">
        <v>28</v>
      </c>
      <c r="F17" s="3">
        <v>86</v>
      </c>
      <c r="G17" s="3">
        <v>3.83</v>
      </c>
    </row>
    <row r="18" spans="1:7" x14ac:dyDescent="0.2">
      <c r="A18" s="2" t="s">
        <v>19</v>
      </c>
      <c r="B18" s="2" t="s">
        <v>11</v>
      </c>
      <c r="C18" s="2" t="s">
        <v>38</v>
      </c>
      <c r="D18" s="3">
        <v>16.7</v>
      </c>
      <c r="E18" s="2" t="s">
        <v>13</v>
      </c>
      <c r="F18" s="3">
        <v>60</v>
      </c>
      <c r="G18" s="3">
        <v>9.33</v>
      </c>
    </row>
    <row r="19" spans="1:7" x14ac:dyDescent="0.2">
      <c r="A19" s="2" t="s">
        <v>19</v>
      </c>
      <c r="B19" s="2" t="s">
        <v>20</v>
      </c>
      <c r="C19" s="2" t="s">
        <v>39</v>
      </c>
      <c r="D19" s="3">
        <v>14.07</v>
      </c>
      <c r="E19" s="2" t="s">
        <v>13</v>
      </c>
      <c r="F19" s="3">
        <v>45</v>
      </c>
      <c r="G19" s="3">
        <v>2.27</v>
      </c>
    </row>
    <row r="20" spans="1:7" x14ac:dyDescent="0.2">
      <c r="A20" s="2" t="s">
        <v>19</v>
      </c>
      <c r="B20" s="2" t="s">
        <v>34</v>
      </c>
      <c r="C20" s="2" t="s">
        <v>40</v>
      </c>
      <c r="D20" s="3">
        <v>18.84</v>
      </c>
      <c r="E20" s="2" t="s">
        <v>28</v>
      </c>
      <c r="F20" s="3">
        <v>85</v>
      </c>
      <c r="G20" s="3">
        <v>3.72</v>
      </c>
    </row>
    <row r="21" spans="1:7" x14ac:dyDescent="0.2">
      <c r="A21" s="2" t="s">
        <v>17</v>
      </c>
      <c r="B21" s="2" t="s">
        <v>20</v>
      </c>
      <c r="C21" s="2" t="s">
        <v>41</v>
      </c>
      <c r="D21" s="3">
        <v>18.96</v>
      </c>
      <c r="E21" s="2" t="s">
        <v>42</v>
      </c>
      <c r="F21" s="3">
        <v>57</v>
      </c>
      <c r="G21" s="3">
        <v>2.72</v>
      </c>
    </row>
    <row r="22" spans="1:7" x14ac:dyDescent="0.2">
      <c r="A22" s="2" t="s">
        <v>7</v>
      </c>
      <c r="B22" s="2" t="s">
        <v>8</v>
      </c>
      <c r="C22" s="2" t="s">
        <v>43</v>
      </c>
      <c r="D22" s="3">
        <v>2.44</v>
      </c>
      <c r="E22" s="2" t="s">
        <v>10</v>
      </c>
      <c r="F22" s="3">
        <v>42</v>
      </c>
      <c r="G22" s="3">
        <v>8.24</v>
      </c>
    </row>
    <row r="23" spans="1:7" x14ac:dyDescent="0.2">
      <c r="A23" s="2" t="s">
        <v>7</v>
      </c>
      <c r="B23" s="2" t="s">
        <v>15</v>
      </c>
      <c r="C23" s="2" t="s">
        <v>44</v>
      </c>
      <c r="D23" s="3">
        <v>17.25</v>
      </c>
      <c r="E23" s="2" t="s">
        <v>10</v>
      </c>
      <c r="F23" s="3">
        <v>59</v>
      </c>
      <c r="G23" s="3">
        <v>6.33</v>
      </c>
    </row>
    <row r="24" spans="1:7" x14ac:dyDescent="0.2">
      <c r="A24" s="2" t="s">
        <v>7</v>
      </c>
      <c r="B24" s="2" t="s">
        <v>11</v>
      </c>
      <c r="C24" s="2" t="s">
        <v>45</v>
      </c>
      <c r="D24" s="3">
        <v>21.66</v>
      </c>
      <c r="E24" s="2" t="s">
        <v>13</v>
      </c>
      <c r="F24" s="3">
        <v>59</v>
      </c>
      <c r="G24" s="3">
        <v>4.5199999999999996</v>
      </c>
    </row>
    <row r="25" spans="1:7" x14ac:dyDescent="0.2">
      <c r="A25" s="2" t="s">
        <v>14</v>
      </c>
      <c r="B25" s="2" t="s">
        <v>24</v>
      </c>
      <c r="C25" s="2" t="s">
        <v>46</v>
      </c>
      <c r="D25" s="3">
        <v>8.4600000000000009</v>
      </c>
      <c r="E25" s="2" t="s">
        <v>10</v>
      </c>
      <c r="F25" s="3">
        <v>90</v>
      </c>
      <c r="G25" s="3">
        <v>5.73</v>
      </c>
    </row>
    <row r="26" spans="1:7" x14ac:dyDescent="0.2">
      <c r="A26" s="2" t="s">
        <v>17</v>
      </c>
      <c r="B26" s="2" t="s">
        <v>34</v>
      </c>
      <c r="C26" s="2" t="s">
        <v>47</v>
      </c>
      <c r="D26" s="3">
        <v>21.1</v>
      </c>
      <c r="E26" s="2" t="s">
        <v>42</v>
      </c>
      <c r="F26" s="3">
        <v>60</v>
      </c>
      <c r="G26" s="3">
        <v>7.83</v>
      </c>
    </row>
    <row r="27" spans="1:7" x14ac:dyDescent="0.2">
      <c r="A27" s="2" t="s">
        <v>17</v>
      </c>
      <c r="B27" s="2" t="s">
        <v>11</v>
      </c>
      <c r="C27" s="2" t="s">
        <v>48</v>
      </c>
      <c r="D27" s="3">
        <v>18.28</v>
      </c>
      <c r="E27" s="2" t="s">
        <v>49</v>
      </c>
      <c r="F27" s="3">
        <v>47</v>
      </c>
      <c r="G27" s="3">
        <v>6.67</v>
      </c>
    </row>
    <row r="28" spans="1:7" x14ac:dyDescent="0.2">
      <c r="A28" s="2" t="s">
        <v>7</v>
      </c>
      <c r="B28" s="2" t="s">
        <v>24</v>
      </c>
      <c r="C28" s="2" t="s">
        <v>50</v>
      </c>
      <c r="D28" s="3">
        <v>9.7799999999999994</v>
      </c>
      <c r="E28" s="2" t="s">
        <v>26</v>
      </c>
      <c r="F28" s="3">
        <v>91</v>
      </c>
      <c r="G28" s="3">
        <v>1.05</v>
      </c>
    </row>
    <row r="29" spans="1:7" x14ac:dyDescent="0.2">
      <c r="A29" s="2" t="s">
        <v>17</v>
      </c>
      <c r="B29" s="2" t="s">
        <v>11</v>
      </c>
      <c r="C29" s="2" t="s">
        <v>51</v>
      </c>
      <c r="D29" s="3">
        <v>21.39</v>
      </c>
      <c r="E29" s="2" t="s">
        <v>10</v>
      </c>
      <c r="F29" s="3">
        <v>92</v>
      </c>
      <c r="G29" s="3">
        <v>8.1999999999999993</v>
      </c>
    </row>
    <row r="30" spans="1:7" x14ac:dyDescent="0.2">
      <c r="A30" s="2" t="s">
        <v>7</v>
      </c>
      <c r="B30" s="2" t="s">
        <v>11</v>
      </c>
      <c r="C30" s="2" t="s">
        <v>52</v>
      </c>
      <c r="D30" s="3">
        <v>19.329999999999998</v>
      </c>
      <c r="E30" s="2" t="s">
        <v>10</v>
      </c>
      <c r="F30" s="3">
        <v>51</v>
      </c>
      <c r="G30" s="3">
        <v>6.84</v>
      </c>
    </row>
    <row r="31" spans="1:7" x14ac:dyDescent="0.2">
      <c r="A31" s="2" t="s">
        <v>19</v>
      </c>
      <c r="B31" s="2" t="s">
        <v>20</v>
      </c>
      <c r="C31" s="2" t="s">
        <v>53</v>
      </c>
      <c r="D31" s="3">
        <v>15.37</v>
      </c>
      <c r="E31" s="2" t="s">
        <v>42</v>
      </c>
      <c r="F31" s="3">
        <v>74</v>
      </c>
      <c r="G31" s="3">
        <v>4.9400000000000004</v>
      </c>
    </row>
    <row r="32" spans="1:7" x14ac:dyDescent="0.2">
      <c r="A32" s="2" t="s">
        <v>19</v>
      </c>
      <c r="B32" s="2" t="s">
        <v>11</v>
      </c>
      <c r="C32" s="2" t="s">
        <v>54</v>
      </c>
      <c r="D32" s="3">
        <v>21.88</v>
      </c>
      <c r="E32" s="2" t="s">
        <v>49</v>
      </c>
      <c r="F32" s="3">
        <v>83</v>
      </c>
      <c r="G32" s="3">
        <v>5.49</v>
      </c>
    </row>
    <row r="33" spans="1:7" x14ac:dyDescent="0.2">
      <c r="A33" s="2" t="s">
        <v>17</v>
      </c>
      <c r="B33" s="2" t="s">
        <v>11</v>
      </c>
      <c r="C33" s="2" t="s">
        <v>55</v>
      </c>
      <c r="D33" s="3">
        <v>20.71</v>
      </c>
      <c r="E33" s="2" t="s">
        <v>49</v>
      </c>
      <c r="F33" s="3">
        <v>71</v>
      </c>
      <c r="G33" s="3">
        <v>1.6</v>
      </c>
    </row>
    <row r="34" spans="1:7" x14ac:dyDescent="0.2">
      <c r="A34" s="2" t="s">
        <v>19</v>
      </c>
      <c r="B34" s="2" t="s">
        <v>11</v>
      </c>
      <c r="C34" s="2" t="s">
        <v>56</v>
      </c>
      <c r="D34" s="3">
        <v>19.79</v>
      </c>
      <c r="E34" s="2" t="s">
        <v>49</v>
      </c>
      <c r="F34" s="3">
        <v>70</v>
      </c>
      <c r="G34" s="3">
        <v>6.54</v>
      </c>
    </row>
    <row r="35" spans="1:7" x14ac:dyDescent="0.2">
      <c r="A35" s="2" t="s">
        <v>7</v>
      </c>
      <c r="B35" s="2" t="s">
        <v>34</v>
      </c>
      <c r="C35" s="2" t="s">
        <v>57</v>
      </c>
      <c r="D35" s="3">
        <v>21.7</v>
      </c>
      <c r="E35" s="2" t="s">
        <v>42</v>
      </c>
      <c r="F35" s="3">
        <v>72</v>
      </c>
      <c r="G35" s="3">
        <v>4.45</v>
      </c>
    </row>
    <row r="36" spans="1:7" x14ac:dyDescent="0.2">
      <c r="A36" s="2" t="s">
        <v>7</v>
      </c>
      <c r="B36" s="2" t="s">
        <v>11</v>
      </c>
      <c r="C36" s="2" t="s">
        <v>58</v>
      </c>
      <c r="D36" s="3">
        <v>20.62</v>
      </c>
      <c r="E36" s="2" t="s">
        <v>49</v>
      </c>
      <c r="F36" s="3">
        <v>60</v>
      </c>
      <c r="G36" s="3">
        <v>1.05</v>
      </c>
    </row>
    <row r="37" spans="1:7" x14ac:dyDescent="0.2">
      <c r="A37" s="2" t="s">
        <v>14</v>
      </c>
      <c r="B37" s="2" t="s">
        <v>34</v>
      </c>
      <c r="C37" s="2" t="s">
        <v>59</v>
      </c>
      <c r="D37" s="3">
        <v>24.8</v>
      </c>
      <c r="E37" s="2" t="s">
        <v>13</v>
      </c>
      <c r="F37" s="3">
        <v>54</v>
      </c>
      <c r="G37" s="3">
        <v>5.09</v>
      </c>
    </row>
    <row r="38" spans="1:7" x14ac:dyDescent="0.2">
      <c r="A38" s="2" t="s">
        <v>19</v>
      </c>
      <c r="B38" s="2" t="s">
        <v>8</v>
      </c>
      <c r="C38" s="2" t="s">
        <v>60</v>
      </c>
      <c r="D38" s="3">
        <v>4.0999999999999996</v>
      </c>
      <c r="E38" s="2" t="s">
        <v>10</v>
      </c>
      <c r="F38" s="3">
        <v>79</v>
      </c>
      <c r="G38" s="3">
        <v>8.4499999999999993</v>
      </c>
    </row>
    <row r="39" spans="1:7" x14ac:dyDescent="0.2">
      <c r="A39" s="2" t="s">
        <v>14</v>
      </c>
      <c r="B39" s="2" t="s">
        <v>24</v>
      </c>
      <c r="C39" s="2" t="s">
        <v>61</v>
      </c>
      <c r="D39" s="3">
        <v>5.34</v>
      </c>
      <c r="E39" s="2" t="s">
        <v>26</v>
      </c>
      <c r="F39" s="3">
        <v>91</v>
      </c>
      <c r="G39" s="3">
        <v>8.59</v>
      </c>
    </row>
    <row r="40" spans="1:7" x14ac:dyDescent="0.2">
      <c r="A40" s="2" t="s">
        <v>19</v>
      </c>
      <c r="B40" s="2" t="s">
        <v>34</v>
      </c>
      <c r="C40" s="2" t="s">
        <v>62</v>
      </c>
      <c r="D40" s="3">
        <v>25.28</v>
      </c>
      <c r="E40" s="2" t="s">
        <v>42</v>
      </c>
      <c r="F40" s="3">
        <v>42</v>
      </c>
      <c r="G40" s="3">
        <v>6.87</v>
      </c>
    </row>
    <row r="41" spans="1:7" x14ac:dyDescent="0.2">
      <c r="A41" s="2" t="s">
        <v>7</v>
      </c>
      <c r="B41" s="2" t="s">
        <v>8</v>
      </c>
      <c r="C41" s="2" t="s">
        <v>63</v>
      </c>
      <c r="D41" s="3">
        <v>2.35</v>
      </c>
      <c r="E41" s="2" t="s">
        <v>26</v>
      </c>
      <c r="F41" s="3">
        <v>58</v>
      </c>
      <c r="G41" s="3">
        <v>2.36</v>
      </c>
    </row>
    <row r="42" spans="1:7" x14ac:dyDescent="0.2">
      <c r="A42" s="2" t="s">
        <v>14</v>
      </c>
      <c r="B42" s="2" t="s">
        <v>24</v>
      </c>
      <c r="C42" s="2" t="s">
        <v>64</v>
      </c>
      <c r="D42" s="3">
        <v>7.02</v>
      </c>
      <c r="E42" s="2" t="s">
        <v>13</v>
      </c>
      <c r="F42" s="3">
        <v>40</v>
      </c>
      <c r="G42" s="3">
        <v>8.3000000000000007</v>
      </c>
    </row>
    <row r="43" spans="1:7" x14ac:dyDescent="0.2">
      <c r="A43" s="2" t="s">
        <v>7</v>
      </c>
      <c r="B43" s="2" t="s">
        <v>34</v>
      </c>
      <c r="C43" s="2" t="s">
        <v>65</v>
      </c>
      <c r="D43" s="3">
        <v>24.78</v>
      </c>
      <c r="E43" s="2" t="s">
        <v>13</v>
      </c>
      <c r="F43" s="3">
        <v>76</v>
      </c>
      <c r="G43" s="3">
        <v>2</v>
      </c>
    </row>
    <row r="44" spans="1:7" x14ac:dyDescent="0.2">
      <c r="A44" s="2" t="s">
        <v>7</v>
      </c>
      <c r="B44" s="2" t="s">
        <v>34</v>
      </c>
      <c r="C44" s="2" t="s">
        <v>66</v>
      </c>
      <c r="D44" s="3">
        <v>25.4</v>
      </c>
      <c r="E44" s="2" t="s">
        <v>36</v>
      </c>
      <c r="F44" s="3">
        <v>88</v>
      </c>
      <c r="G44" s="3">
        <v>8.33</v>
      </c>
    </row>
    <row r="45" spans="1:7" x14ac:dyDescent="0.2">
      <c r="A45" s="2" t="s">
        <v>14</v>
      </c>
      <c r="B45" s="2" t="s">
        <v>20</v>
      </c>
      <c r="C45" s="2" t="s">
        <v>67</v>
      </c>
      <c r="D45" s="3">
        <v>18.96</v>
      </c>
      <c r="E45" s="2" t="s">
        <v>42</v>
      </c>
      <c r="F45" s="3">
        <v>76</v>
      </c>
      <c r="G45" s="3">
        <v>3.4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zoomScaleNormal="100" workbookViewId="0"/>
  </sheetViews>
  <sheetFormatPr baseColWidth="10" defaultColWidth="8.6640625" defaultRowHeight="15" x14ac:dyDescent="0.2"/>
  <cols>
    <col min="1" max="1" width="16" customWidth="1"/>
    <col min="2" max="2" width="12" customWidth="1"/>
  </cols>
  <sheetData>
    <row r="1" spans="1:2" ht="18" x14ac:dyDescent="0.2">
      <c r="A1" s="4" t="s">
        <v>68</v>
      </c>
    </row>
    <row r="3" spans="1:2" x14ac:dyDescent="0.2">
      <c r="A3" s="1" t="s">
        <v>1</v>
      </c>
      <c r="B3" s="1" t="s">
        <v>69</v>
      </c>
    </row>
    <row r="4" spans="1:2" x14ac:dyDescent="0.2">
      <c r="A4" s="2" t="s">
        <v>11</v>
      </c>
      <c r="B4" s="3">
        <f>COUNTIF(Historial!$B$2:$B$45,A4)</f>
        <v>14</v>
      </c>
    </row>
    <row r="5" spans="1:2" x14ac:dyDescent="0.2">
      <c r="A5" s="2" t="s">
        <v>34</v>
      </c>
      <c r="B5" s="3">
        <f>COUNTIF(Historial!$B$2:$B$45,A5)</f>
        <v>8</v>
      </c>
    </row>
    <row r="6" spans="1:2" x14ac:dyDescent="0.2">
      <c r="A6" s="2" t="s">
        <v>24</v>
      </c>
      <c r="B6" s="3">
        <f>COUNTIF(Historial!$B$2:$B$45,A6)</f>
        <v>6</v>
      </c>
    </row>
    <row r="7" spans="1:2" x14ac:dyDescent="0.2">
      <c r="A7" s="2" t="s">
        <v>20</v>
      </c>
      <c r="B7" s="3">
        <f>COUNTIF(Historial!$B$2:$B$45,A7)</f>
        <v>7</v>
      </c>
    </row>
    <row r="8" spans="1:2" x14ac:dyDescent="0.2">
      <c r="A8" s="2" t="s">
        <v>8</v>
      </c>
      <c r="B8" s="3">
        <f>COUNTIF(Historial!$B$2:$B$45,A8)</f>
        <v>4</v>
      </c>
    </row>
    <row r="9" spans="1:2" x14ac:dyDescent="0.2">
      <c r="A9" s="2" t="s">
        <v>15</v>
      </c>
      <c r="B9" s="3">
        <f>COUNTIF(Historial!$B$2:$B$45,A9)</f>
        <v>5</v>
      </c>
    </row>
    <row r="10" spans="1:2" x14ac:dyDescent="0.2">
      <c r="A10" s="5" t="s">
        <v>70</v>
      </c>
      <c r="B10" s="6">
        <f>SUM(B4:B9)</f>
        <v>44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zoomScaleNormal="100" workbookViewId="0">
      <selection activeCell="C24" sqref="C24"/>
    </sheetView>
  </sheetViews>
  <sheetFormatPr baseColWidth="10" defaultColWidth="8.6640625" defaultRowHeight="15" x14ac:dyDescent="0.2"/>
  <cols>
    <col min="1" max="1" width="21" customWidth="1"/>
    <col min="2" max="2" width="13" customWidth="1"/>
  </cols>
  <sheetData>
    <row r="1" spans="1:2" ht="18" x14ac:dyDescent="0.2">
      <c r="A1" s="4" t="s">
        <v>71</v>
      </c>
    </row>
    <row r="3" spans="1:2" x14ac:dyDescent="0.2">
      <c r="A3" s="1" t="s">
        <v>2</v>
      </c>
      <c r="B3" s="1" t="s">
        <v>3</v>
      </c>
    </row>
    <row r="4" spans="1:2" x14ac:dyDescent="0.2">
      <c r="A4" s="2" t="s">
        <v>12</v>
      </c>
      <c r="B4" s="3">
        <v>21.24</v>
      </c>
    </row>
    <row r="5" spans="1:2" x14ac:dyDescent="0.2">
      <c r="A5" s="2" t="s">
        <v>23</v>
      </c>
      <c r="B5" s="3">
        <v>16.02</v>
      </c>
    </row>
    <row r="6" spans="1:2" x14ac:dyDescent="0.2">
      <c r="A6" s="2" t="s">
        <v>30</v>
      </c>
      <c r="B6" s="3">
        <v>18.75</v>
      </c>
    </row>
    <row r="7" spans="1:2" x14ac:dyDescent="0.2">
      <c r="A7" s="2" t="s">
        <v>32</v>
      </c>
      <c r="B7" s="3">
        <v>21.62</v>
      </c>
    </row>
    <row r="8" spans="1:2" x14ac:dyDescent="0.2">
      <c r="A8" s="2" t="s">
        <v>33</v>
      </c>
      <c r="B8" s="3">
        <v>21.94</v>
      </c>
    </row>
    <row r="9" spans="1:2" x14ac:dyDescent="0.2">
      <c r="A9" s="2" t="s">
        <v>38</v>
      </c>
      <c r="B9" s="3">
        <v>16.7</v>
      </c>
    </row>
    <row r="10" spans="1:2" x14ac:dyDescent="0.2">
      <c r="A10" s="2" t="s">
        <v>45</v>
      </c>
      <c r="B10" s="3">
        <v>21.66</v>
      </c>
    </row>
    <row r="11" spans="1:2" x14ac:dyDescent="0.2">
      <c r="A11" s="2" t="s">
        <v>48</v>
      </c>
      <c r="B11" s="3">
        <v>18.28</v>
      </c>
    </row>
    <row r="12" spans="1:2" x14ac:dyDescent="0.2">
      <c r="A12" s="2" t="s">
        <v>51</v>
      </c>
      <c r="B12" s="3">
        <v>21.39</v>
      </c>
    </row>
    <row r="13" spans="1:2" x14ac:dyDescent="0.2">
      <c r="A13" s="2" t="s">
        <v>52</v>
      </c>
      <c r="B13" s="3">
        <v>19.329999999999998</v>
      </c>
    </row>
    <row r="14" spans="1:2" x14ac:dyDescent="0.2">
      <c r="A14" s="2" t="s">
        <v>54</v>
      </c>
      <c r="B14" s="3">
        <v>21.88</v>
      </c>
    </row>
    <row r="15" spans="1:2" x14ac:dyDescent="0.2">
      <c r="A15" s="2" t="s">
        <v>55</v>
      </c>
      <c r="B15" s="3">
        <v>20.71</v>
      </c>
    </row>
    <row r="16" spans="1:2" x14ac:dyDescent="0.2">
      <c r="A16" s="2" t="s">
        <v>56</v>
      </c>
      <c r="B16" s="3">
        <v>19.79</v>
      </c>
    </row>
    <row r="17" spans="1:2" x14ac:dyDescent="0.2">
      <c r="A17" s="2" t="s">
        <v>58</v>
      </c>
      <c r="B17" s="3">
        <v>20.62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zoomScale="143" zoomScaleNormal="100" workbookViewId="0">
      <selection activeCell="M6" sqref="M6"/>
    </sheetView>
  </sheetViews>
  <sheetFormatPr baseColWidth="10" defaultColWidth="8.6640625" defaultRowHeight="15" x14ac:dyDescent="0.2"/>
  <cols>
    <col min="1" max="1" width="18" customWidth="1"/>
    <col min="2" max="2" width="12" customWidth="1"/>
  </cols>
  <sheetData>
    <row r="1" spans="1:2" ht="18" x14ac:dyDescent="0.2">
      <c r="A1" s="4" t="s">
        <v>72</v>
      </c>
    </row>
    <row r="3" spans="1:2" x14ac:dyDescent="0.2">
      <c r="A3" s="1" t="s">
        <v>73</v>
      </c>
      <c r="B3" s="1" t="s">
        <v>69</v>
      </c>
    </row>
    <row r="4" spans="1:2" x14ac:dyDescent="0.2">
      <c r="A4" s="2" t="s">
        <v>28</v>
      </c>
      <c r="B4" s="3">
        <f>COUNTIF(Historial!$E$2:$E$45,A4)</f>
        <v>3</v>
      </c>
    </row>
    <row r="5" spans="1:2" x14ac:dyDescent="0.2">
      <c r="A5" s="2" t="s">
        <v>13</v>
      </c>
      <c r="B5" s="3">
        <f>COUNTIF(Historial!$E$2:$E$45,A5)</f>
        <v>11</v>
      </c>
    </row>
    <row r="6" spans="1:2" x14ac:dyDescent="0.2">
      <c r="A6" s="2" t="s">
        <v>49</v>
      </c>
      <c r="B6" s="3">
        <f>COUNTIF(Historial!$E$2:$E$45,A6)</f>
        <v>5</v>
      </c>
    </row>
    <row r="7" spans="1:2" x14ac:dyDescent="0.2">
      <c r="A7" s="2" t="s">
        <v>10</v>
      </c>
      <c r="B7" s="3">
        <f>COUNTIF(Historial!$E$2:$E$45,A7)</f>
        <v>12</v>
      </c>
    </row>
    <row r="8" spans="1:2" x14ac:dyDescent="0.2">
      <c r="A8" s="2" t="s">
        <v>26</v>
      </c>
      <c r="B8" s="3">
        <f>COUNTIF(Historial!$E$2:$E$45,A8)</f>
        <v>5</v>
      </c>
    </row>
    <row r="9" spans="1:2" x14ac:dyDescent="0.2">
      <c r="A9" s="2" t="s">
        <v>42</v>
      </c>
      <c r="B9" s="3">
        <f>COUNTIF(Historial!$E$2:$E$45,A9)</f>
        <v>6</v>
      </c>
    </row>
    <row r="10" spans="1:2" x14ac:dyDescent="0.2">
      <c r="A10" s="2" t="s">
        <v>36</v>
      </c>
      <c r="B10" s="3">
        <f>COUNTIF(Historial!$E$2:$E$45,A10)</f>
        <v>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tabSelected="1" zoomScaleNormal="100" workbookViewId="0">
      <selection activeCell="E5" sqref="E5"/>
    </sheetView>
  </sheetViews>
  <sheetFormatPr baseColWidth="10" defaultColWidth="8.6640625" defaultRowHeight="15" x14ac:dyDescent="0.2"/>
  <cols>
    <col min="1" max="1" width="28" customWidth="1"/>
    <col min="2" max="2" width="18" customWidth="1"/>
  </cols>
  <sheetData>
    <row r="1" spans="1:2" ht="18" x14ac:dyDescent="0.2">
      <c r="A1" s="4" t="s">
        <v>74</v>
      </c>
    </row>
    <row r="3" spans="1:2" x14ac:dyDescent="0.2">
      <c r="A3" s="7" t="s">
        <v>75</v>
      </c>
      <c r="B3" s="3">
        <f>COUNTA(Historial!A2:A45)</f>
        <v>44</v>
      </c>
    </row>
    <row r="4" spans="1:2" x14ac:dyDescent="0.2">
      <c r="A4" s="7" t="s">
        <v>76</v>
      </c>
      <c r="B4" s="3">
        <f>AVERAGE(Historial!D2:D45)</f>
        <v>16.834545454545452</v>
      </c>
    </row>
    <row r="5" spans="1:2" x14ac:dyDescent="0.2">
      <c r="A5" s="7" t="s">
        <v>77</v>
      </c>
      <c r="B5" s="3">
        <f ca="1">MAX(Historial!D2:D45)=ROUND(B5, 2)</f>
        <v>0</v>
      </c>
    </row>
    <row r="6" spans="1:2" x14ac:dyDescent="0.2">
      <c r="A6" s="7" t="s">
        <v>78</v>
      </c>
      <c r="B6" s="3">
        <f>MIN(Historial!D2:D45)</f>
        <v>1.5</v>
      </c>
    </row>
    <row r="7" spans="1:2" x14ac:dyDescent="0.2">
      <c r="A7" s="7" t="s">
        <v>79</v>
      </c>
      <c r="B7" s="3">
        <f>AVERAGE(Historial!F2:F45)</f>
        <v>68.86363636363636</v>
      </c>
    </row>
    <row r="8" spans="1:2" x14ac:dyDescent="0.2">
      <c r="A8" s="7" t="s">
        <v>80</v>
      </c>
      <c r="B8" s="3" t="str">
        <f>INDEX('Consultas por Ciudad'!A4:A9,MATCH(MAX('Consultas por Ciudad'!B4:B9),'Consultas por Ciudad'!B4:B9,0))</f>
        <v>Buenos Aires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Historial</vt:lpstr>
      <vt:lpstr>Consultas por Ciudad</vt:lpstr>
      <vt:lpstr>Tendencia Temperatura</vt:lpstr>
      <vt:lpstr>Condiciones Climaticas</vt:lpstr>
      <vt:lpstr>Estadisticas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Toto Pedemonte</cp:lastModifiedBy>
  <cp:revision>1</cp:revision>
  <dcterms:created xsi:type="dcterms:W3CDTF">2026-05-31T02:33:22Z</dcterms:created>
  <dcterms:modified xsi:type="dcterms:W3CDTF">2026-05-31T15:14:19Z</dcterms:modified>
  <dc:language>en-US</dc:language>
</cp:coreProperties>
</file>